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4th Sem\Electronics and Circuit\Lab 06\"/>
    </mc:Choice>
  </mc:AlternateContent>
  <xr:revisionPtr revIDLastSave="0" documentId="13_ncr:1_{B7F9DA15-C3AD-41A5-B456-B9F508E674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aph #3 - Gain (dB)" sheetId="1" r:id="rId1"/>
    <sheet name="Graph #4 - Phase (°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6" i="1"/>
  <c r="E7" i="1"/>
  <c r="E8" i="1"/>
  <c r="E9" i="1"/>
  <c r="E10" i="1"/>
  <c r="E11" i="1"/>
  <c r="E12" i="1"/>
  <c r="E13" i="1"/>
  <c r="E5" i="1"/>
  <c r="J6" i="1"/>
  <c r="J7" i="1"/>
  <c r="J8" i="1"/>
  <c r="J9" i="1"/>
  <c r="J10" i="1"/>
  <c r="J11" i="1"/>
  <c r="J12" i="1"/>
  <c r="J13" i="1"/>
  <c r="J14" i="1"/>
  <c r="J5" i="1"/>
</calcChain>
</file>

<file path=xl/sharedStrings.xml><?xml version="1.0" encoding="utf-8"?>
<sst xmlns="http://schemas.openxmlformats.org/spreadsheetml/2006/main" count="15" uniqueCount="13">
  <si>
    <t>Assessment Q3 — Graph #3: Op-Amp Lowpass Filter — Simulated and Measured Gain (dB)</t>
  </si>
  <si>
    <t>R₁ = 1 kΩ, R₂ = 5.1 kΩ, C₂ = 10 nF | DC Gain = 14.15 dB | f₀ = 3,121 Hz</t>
  </si>
  <si>
    <t>Sim Freq (Hz)</t>
  </si>
  <si>
    <t>Sim Gain (dB)</t>
  </si>
  <si>
    <t>Meas Freq (Hz)</t>
  </si>
  <si>
    <t>Meas Gain (dB)</t>
  </si>
  <si>
    <t>Assessment Q3 — Graph #4: Op-Amp Lowpass Filter — Simulated and Measured Phase (°)</t>
  </si>
  <si>
    <t>R₁ = 1 kΩ, R₂ = 5.1 kΩ, C₂ = 10 nF | Phase at DC ≈ 180° | Phase at f₀ ≈ 135°</t>
  </si>
  <si>
    <t>Sim Phase (°)</t>
  </si>
  <si>
    <t>Meas Phase (°)</t>
  </si>
  <si>
    <t>vo</t>
  </si>
  <si>
    <t>vi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</si>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</sst>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i/>
      <sz val="10"/>
      <color rgb="FFC00000"/>
      <name val="Arial"/>
    </font>
    <font>
      <b/>
      <sz val="11"/>
      <color rgb="FFFFFFFF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0E0"/>
        <bgColor rgb="FFFFE0E0"/>
      </patternFill>
    </fill>
    <fill>
      <patternFill patternType="solid">
        <fgColor rgb="FFE0E8FF"/>
        <bgColor rgb="FFE0E8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Graph #3: Gain (dB) vs Frequency — Op-Amp Lowpass Filter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Simulation</c:v>
          </c:tx>
          <c:spPr>
            <a:ln w="250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'Graph #3 - Gain (dB)'!$A$5:$A$45</c:f>
              <c:numCache>
                <c:formatCode>General</c:formatCode>
                <c:ptCount val="41"/>
                <c:pt idx="0">
                  <c:v>100</c:v>
                </c:pt>
                <c:pt idx="1">
                  <c:v>125.89</c:v>
                </c:pt>
                <c:pt idx="2">
                  <c:v>158.49</c:v>
                </c:pt>
                <c:pt idx="3">
                  <c:v>199.53</c:v>
                </c:pt>
                <c:pt idx="4">
                  <c:v>251.19</c:v>
                </c:pt>
                <c:pt idx="5">
                  <c:v>316.23</c:v>
                </c:pt>
                <c:pt idx="6">
                  <c:v>398.11</c:v>
                </c:pt>
                <c:pt idx="7">
                  <c:v>501.19</c:v>
                </c:pt>
                <c:pt idx="8">
                  <c:v>630.96</c:v>
                </c:pt>
                <c:pt idx="9">
                  <c:v>794.33</c:v>
                </c:pt>
                <c:pt idx="10">
                  <c:v>1000</c:v>
                </c:pt>
                <c:pt idx="11">
                  <c:v>1258.93</c:v>
                </c:pt>
                <c:pt idx="12">
                  <c:v>1584.89</c:v>
                </c:pt>
                <c:pt idx="13">
                  <c:v>1995.26</c:v>
                </c:pt>
                <c:pt idx="14">
                  <c:v>2511.89</c:v>
                </c:pt>
                <c:pt idx="15">
                  <c:v>3162.28</c:v>
                </c:pt>
                <c:pt idx="16">
                  <c:v>3981.07</c:v>
                </c:pt>
                <c:pt idx="17">
                  <c:v>5011.87</c:v>
                </c:pt>
                <c:pt idx="18">
                  <c:v>6309.57</c:v>
                </c:pt>
                <c:pt idx="19">
                  <c:v>7943.28</c:v>
                </c:pt>
                <c:pt idx="20">
                  <c:v>10000</c:v>
                </c:pt>
                <c:pt idx="21">
                  <c:v>12589.25</c:v>
                </c:pt>
                <c:pt idx="22">
                  <c:v>15848.93</c:v>
                </c:pt>
                <c:pt idx="23">
                  <c:v>19952.62</c:v>
                </c:pt>
                <c:pt idx="24">
                  <c:v>25118.86</c:v>
                </c:pt>
                <c:pt idx="25">
                  <c:v>31622.78</c:v>
                </c:pt>
                <c:pt idx="26">
                  <c:v>39810.720000000001</c:v>
                </c:pt>
                <c:pt idx="27">
                  <c:v>50118.720000000001</c:v>
                </c:pt>
                <c:pt idx="28">
                  <c:v>63095.73</c:v>
                </c:pt>
                <c:pt idx="29">
                  <c:v>79432.820000000007</c:v>
                </c:pt>
                <c:pt idx="30">
                  <c:v>100000</c:v>
                </c:pt>
                <c:pt idx="31">
                  <c:v>125892.54</c:v>
                </c:pt>
                <c:pt idx="32">
                  <c:v>158489.32</c:v>
                </c:pt>
                <c:pt idx="33">
                  <c:v>199526.23</c:v>
                </c:pt>
                <c:pt idx="34">
                  <c:v>251188.64</c:v>
                </c:pt>
                <c:pt idx="35">
                  <c:v>316227.77</c:v>
                </c:pt>
                <c:pt idx="36">
                  <c:v>398107.17</c:v>
                </c:pt>
                <c:pt idx="37">
                  <c:v>501187.23</c:v>
                </c:pt>
                <c:pt idx="38">
                  <c:v>630957.34</c:v>
                </c:pt>
                <c:pt idx="39">
                  <c:v>794328.23</c:v>
                </c:pt>
                <c:pt idx="40">
                  <c:v>1000000</c:v>
                </c:pt>
              </c:numCache>
            </c:numRef>
          </c:xVal>
          <c:yVal>
            <c:numRef>
              <c:f>'Graph #3 - Gain (dB)'!$B$5:$B$45</c:f>
              <c:numCache>
                <c:formatCode>General</c:formatCode>
                <c:ptCount val="41"/>
                <c:pt idx="0">
                  <c:v>14.15</c:v>
                </c:pt>
                <c:pt idx="1">
                  <c:v>14.14</c:v>
                </c:pt>
                <c:pt idx="2">
                  <c:v>14.14</c:v>
                </c:pt>
                <c:pt idx="3">
                  <c:v>14.13</c:v>
                </c:pt>
                <c:pt idx="4">
                  <c:v>14.12</c:v>
                </c:pt>
                <c:pt idx="5">
                  <c:v>14.11</c:v>
                </c:pt>
                <c:pt idx="6">
                  <c:v>14.08</c:v>
                </c:pt>
                <c:pt idx="7">
                  <c:v>14.04</c:v>
                </c:pt>
                <c:pt idx="8">
                  <c:v>13.98</c:v>
                </c:pt>
                <c:pt idx="9">
                  <c:v>13.88</c:v>
                </c:pt>
                <c:pt idx="10">
                  <c:v>13.73</c:v>
                </c:pt>
                <c:pt idx="11">
                  <c:v>13.5</c:v>
                </c:pt>
                <c:pt idx="12">
                  <c:v>13.15</c:v>
                </c:pt>
                <c:pt idx="13">
                  <c:v>12.66</c:v>
                </c:pt>
                <c:pt idx="14">
                  <c:v>11.98</c:v>
                </c:pt>
                <c:pt idx="15">
                  <c:v>11.08</c:v>
                </c:pt>
                <c:pt idx="16">
                  <c:v>9.9600000000000009</c:v>
                </c:pt>
                <c:pt idx="17">
                  <c:v>8.61</c:v>
                </c:pt>
                <c:pt idx="18">
                  <c:v>7.08</c:v>
                </c:pt>
                <c:pt idx="19">
                  <c:v>5.41</c:v>
                </c:pt>
                <c:pt idx="20">
                  <c:v>3.63</c:v>
                </c:pt>
                <c:pt idx="21">
                  <c:v>1.78</c:v>
                </c:pt>
                <c:pt idx="22">
                  <c:v>-0.13</c:v>
                </c:pt>
                <c:pt idx="23">
                  <c:v>-2.0699999999999998</c:v>
                </c:pt>
                <c:pt idx="24">
                  <c:v>-4.03</c:v>
                </c:pt>
                <c:pt idx="25">
                  <c:v>-6.01</c:v>
                </c:pt>
                <c:pt idx="26">
                  <c:v>-7.99</c:v>
                </c:pt>
                <c:pt idx="27">
                  <c:v>-9.98</c:v>
                </c:pt>
                <c:pt idx="28">
                  <c:v>-11.98</c:v>
                </c:pt>
                <c:pt idx="29">
                  <c:v>-13.97</c:v>
                </c:pt>
                <c:pt idx="30">
                  <c:v>-15.97</c:v>
                </c:pt>
                <c:pt idx="31">
                  <c:v>-17.97</c:v>
                </c:pt>
                <c:pt idx="32">
                  <c:v>-19.97</c:v>
                </c:pt>
                <c:pt idx="33">
                  <c:v>-21.96</c:v>
                </c:pt>
                <c:pt idx="34">
                  <c:v>-23.96</c:v>
                </c:pt>
                <c:pt idx="35">
                  <c:v>-25.96</c:v>
                </c:pt>
                <c:pt idx="36">
                  <c:v>-27.96</c:v>
                </c:pt>
                <c:pt idx="37">
                  <c:v>-29.95</c:v>
                </c:pt>
                <c:pt idx="38">
                  <c:v>-31.94</c:v>
                </c:pt>
                <c:pt idx="39">
                  <c:v>-33.93</c:v>
                </c:pt>
                <c:pt idx="40">
                  <c:v>-35.909999999999997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A3-4C0B-B01A-CC1F096FF99B}"/>
            </c:ext>
          </c:extLst>
        </c:ser>
        <c:ser>
          <c:idx val="1"/>
          <c:order val="1"/>
          <c:tx>
            <c:v>Measurement</c:v>
          </c:tx>
          <c:spPr>
            <a:ln w="20000">
              <a:solidFill>
                <a:srgbClr val="0070C0"/>
              </a:solidFill>
              <a:prstDash val="dash"/>
            </a:ln>
          </c:spPr>
          <c:marker>
            <c:symbol val="circle"/>
            <c:size val="7"/>
            <c:spPr>
              <a:solidFill>
                <a:srgbClr val="0070C0"/>
              </a:solidFill>
              <a:ln>
                <a:prstDash val="solid"/>
              </a:ln>
            </c:spPr>
          </c:marker>
          <c:xVal>
            <c:numRef>
              <c:f>'Graph #3 - Gain (dB)'!$D$5:$D$14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  <c:pt idx="7">
                  <c:v>20000</c:v>
                </c:pt>
                <c:pt idx="8">
                  <c:v>50000</c:v>
                </c:pt>
                <c:pt idx="9">
                  <c:v>100000</c:v>
                </c:pt>
              </c:numCache>
            </c:numRef>
          </c:xVal>
          <c:yVal>
            <c:numRef>
              <c:f>'Graph #3 - Gain (dB)'!$E$5:$E$14</c:f>
              <c:numCache>
                <c:formatCode>General</c:formatCode>
                <c:ptCount val="10"/>
                <c:pt idx="0">
                  <c:v>14.065827562373228</c:v>
                </c:pt>
                <c:pt idx="1">
                  <c:v>14.065827562373228</c:v>
                </c:pt>
                <c:pt idx="2">
                  <c:v>14.065827562373228</c:v>
                </c:pt>
                <c:pt idx="3">
                  <c:v>13.624824747511743</c:v>
                </c:pt>
                <c:pt idx="4">
                  <c:v>12.464985807958008</c:v>
                </c:pt>
                <c:pt idx="5">
                  <c:v>8.6272752831797472</c:v>
                </c:pt>
                <c:pt idx="6">
                  <c:v>4.0823996531184958</c:v>
                </c:pt>
                <c:pt idx="7">
                  <c:v>-0.91514981121350236</c:v>
                </c:pt>
                <c:pt idx="8">
                  <c:v>-7.9588001734407516</c:v>
                </c:pt>
                <c:pt idx="9">
                  <c:v>-10.457574905606752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A3-4C0B-B01A-CC1F096FF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000"/>
          <c:min val="10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Frequency (Hz)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0"/>
          <c:min val="-2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Gain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t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Graph #4: Phase (°) vs Frequency — Op-Amp Lowpass Filter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Simulation</c:v>
          </c:tx>
          <c:spPr>
            <a:ln w="250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'Graph #4 - Phase (°)'!$A$5:$A$45</c:f>
              <c:numCache>
                <c:formatCode>General</c:formatCode>
                <c:ptCount val="41"/>
                <c:pt idx="0">
                  <c:v>100</c:v>
                </c:pt>
                <c:pt idx="1">
                  <c:v>125.89</c:v>
                </c:pt>
                <c:pt idx="2">
                  <c:v>158.49</c:v>
                </c:pt>
                <c:pt idx="3">
                  <c:v>199.53</c:v>
                </c:pt>
                <c:pt idx="4">
                  <c:v>251.19</c:v>
                </c:pt>
                <c:pt idx="5">
                  <c:v>316.23</c:v>
                </c:pt>
                <c:pt idx="6">
                  <c:v>398.11</c:v>
                </c:pt>
                <c:pt idx="7">
                  <c:v>501.19</c:v>
                </c:pt>
                <c:pt idx="8">
                  <c:v>630.96</c:v>
                </c:pt>
                <c:pt idx="9">
                  <c:v>794.33</c:v>
                </c:pt>
                <c:pt idx="10">
                  <c:v>1000</c:v>
                </c:pt>
                <c:pt idx="11">
                  <c:v>1258.93</c:v>
                </c:pt>
                <c:pt idx="12">
                  <c:v>1584.89</c:v>
                </c:pt>
                <c:pt idx="13">
                  <c:v>1995.26</c:v>
                </c:pt>
                <c:pt idx="14">
                  <c:v>2511.89</c:v>
                </c:pt>
                <c:pt idx="15">
                  <c:v>3162.28</c:v>
                </c:pt>
                <c:pt idx="16">
                  <c:v>3981.07</c:v>
                </c:pt>
                <c:pt idx="17">
                  <c:v>5011.87</c:v>
                </c:pt>
                <c:pt idx="18">
                  <c:v>6309.57</c:v>
                </c:pt>
                <c:pt idx="19">
                  <c:v>7943.28</c:v>
                </c:pt>
                <c:pt idx="20">
                  <c:v>10000</c:v>
                </c:pt>
                <c:pt idx="21">
                  <c:v>12589.25</c:v>
                </c:pt>
                <c:pt idx="22">
                  <c:v>15848.93</c:v>
                </c:pt>
                <c:pt idx="23">
                  <c:v>19952.62</c:v>
                </c:pt>
                <c:pt idx="24">
                  <c:v>25118.86</c:v>
                </c:pt>
                <c:pt idx="25">
                  <c:v>31622.78</c:v>
                </c:pt>
                <c:pt idx="26">
                  <c:v>39810.720000000001</c:v>
                </c:pt>
                <c:pt idx="27">
                  <c:v>50118.720000000001</c:v>
                </c:pt>
                <c:pt idx="28">
                  <c:v>63095.73</c:v>
                </c:pt>
                <c:pt idx="29">
                  <c:v>79432.820000000007</c:v>
                </c:pt>
                <c:pt idx="30">
                  <c:v>100000</c:v>
                </c:pt>
                <c:pt idx="31">
                  <c:v>125892.54</c:v>
                </c:pt>
                <c:pt idx="32">
                  <c:v>158489.32</c:v>
                </c:pt>
                <c:pt idx="33">
                  <c:v>199526.23</c:v>
                </c:pt>
                <c:pt idx="34">
                  <c:v>251188.64</c:v>
                </c:pt>
                <c:pt idx="35">
                  <c:v>316227.77</c:v>
                </c:pt>
                <c:pt idx="36">
                  <c:v>398107.17</c:v>
                </c:pt>
                <c:pt idx="37">
                  <c:v>501187.23</c:v>
                </c:pt>
                <c:pt idx="38">
                  <c:v>630957.34</c:v>
                </c:pt>
                <c:pt idx="39">
                  <c:v>794328.23</c:v>
                </c:pt>
                <c:pt idx="40">
                  <c:v>1000000</c:v>
                </c:pt>
              </c:numCache>
            </c:numRef>
          </c:xVal>
          <c:yVal>
            <c:numRef>
              <c:f>'Graph #4 - Phase (°)'!$B$5:$B$45</c:f>
              <c:numCache>
                <c:formatCode>General</c:formatCode>
                <c:ptCount val="41"/>
                <c:pt idx="0">
                  <c:v>178.16</c:v>
                </c:pt>
                <c:pt idx="1">
                  <c:v>177.69</c:v>
                </c:pt>
                <c:pt idx="2">
                  <c:v>177.09</c:v>
                </c:pt>
                <c:pt idx="3">
                  <c:v>176.34</c:v>
                </c:pt>
                <c:pt idx="4">
                  <c:v>175.4</c:v>
                </c:pt>
                <c:pt idx="5">
                  <c:v>174.21</c:v>
                </c:pt>
                <c:pt idx="6">
                  <c:v>172.73</c:v>
                </c:pt>
                <c:pt idx="7">
                  <c:v>170.87</c:v>
                </c:pt>
                <c:pt idx="8">
                  <c:v>168.57</c:v>
                </c:pt>
                <c:pt idx="9">
                  <c:v>165.72</c:v>
                </c:pt>
                <c:pt idx="10">
                  <c:v>162.22999999999999</c:v>
                </c:pt>
                <c:pt idx="11">
                  <c:v>158.03</c:v>
                </c:pt>
                <c:pt idx="12">
                  <c:v>153.07</c:v>
                </c:pt>
                <c:pt idx="13">
                  <c:v>147.4</c:v>
                </c:pt>
                <c:pt idx="14">
                  <c:v>141.16</c:v>
                </c:pt>
                <c:pt idx="15">
                  <c:v>134.62</c:v>
                </c:pt>
                <c:pt idx="16">
                  <c:v>128.09</c:v>
                </c:pt>
                <c:pt idx="17">
                  <c:v>121.9</c:v>
                </c:pt>
                <c:pt idx="18">
                  <c:v>116.31</c:v>
                </c:pt>
                <c:pt idx="19">
                  <c:v>111.44</c:v>
                </c:pt>
                <c:pt idx="20">
                  <c:v>107.32</c:v>
                </c:pt>
                <c:pt idx="21">
                  <c:v>103.91</c:v>
                </c:pt>
                <c:pt idx="22">
                  <c:v>101.13</c:v>
                </c:pt>
                <c:pt idx="23">
                  <c:v>98.88</c:v>
                </c:pt>
                <c:pt idx="24">
                  <c:v>97.07</c:v>
                </c:pt>
                <c:pt idx="25">
                  <c:v>95.62</c:v>
                </c:pt>
                <c:pt idx="26">
                  <c:v>94.46</c:v>
                </c:pt>
                <c:pt idx="27">
                  <c:v>93.53</c:v>
                </c:pt>
                <c:pt idx="28">
                  <c:v>92.79</c:v>
                </c:pt>
                <c:pt idx="29">
                  <c:v>92.2</c:v>
                </c:pt>
                <c:pt idx="30">
                  <c:v>91.73</c:v>
                </c:pt>
                <c:pt idx="31">
                  <c:v>91.35</c:v>
                </c:pt>
                <c:pt idx="32">
                  <c:v>91.04</c:v>
                </c:pt>
                <c:pt idx="33">
                  <c:v>90.78</c:v>
                </c:pt>
                <c:pt idx="34">
                  <c:v>90.57</c:v>
                </c:pt>
                <c:pt idx="35">
                  <c:v>90.38</c:v>
                </c:pt>
                <c:pt idx="36">
                  <c:v>90.22</c:v>
                </c:pt>
                <c:pt idx="37">
                  <c:v>90.07</c:v>
                </c:pt>
                <c:pt idx="38">
                  <c:v>89.92</c:v>
                </c:pt>
                <c:pt idx="39">
                  <c:v>89.76</c:v>
                </c:pt>
                <c:pt idx="40">
                  <c:v>89.6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16-4B9B-8F71-519FCABD698B}"/>
            </c:ext>
          </c:extLst>
        </c:ser>
        <c:ser>
          <c:idx val="1"/>
          <c:order val="1"/>
          <c:tx>
            <c:v>Measurement</c:v>
          </c:tx>
          <c:spPr>
            <a:ln w="20000">
              <a:solidFill>
                <a:srgbClr val="0070C0"/>
              </a:solidFill>
              <a:prstDash val="dash"/>
            </a:ln>
          </c:spPr>
          <c:marker>
            <c:symbol val="circle"/>
            <c:size val="7"/>
            <c:spPr>
              <a:solidFill>
                <a:srgbClr val="0070C0"/>
              </a:solidFill>
              <a:ln>
                <a:prstDash val="solid"/>
              </a:ln>
            </c:spPr>
          </c:marker>
          <c:xVal>
            <c:numRef>
              <c:f>'Graph #4 - Phase (°)'!$D$5:$D$14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  <c:pt idx="7">
                  <c:v>20000</c:v>
                </c:pt>
                <c:pt idx="8">
                  <c:v>50000</c:v>
                </c:pt>
                <c:pt idx="9">
                  <c:v>100000</c:v>
                </c:pt>
              </c:numCache>
            </c:numRef>
          </c:xVal>
          <c:yVal>
            <c:numRef>
              <c:f>'Graph #4 - Phase (°)'!$E$5:$E$14</c:f>
              <c:numCache>
                <c:formatCode>General</c:formatCode>
                <c:ptCount val="10"/>
                <c:pt idx="0">
                  <c:v>178</c:v>
                </c:pt>
                <c:pt idx="1">
                  <c:v>176</c:v>
                </c:pt>
                <c:pt idx="2">
                  <c:v>170</c:v>
                </c:pt>
                <c:pt idx="3">
                  <c:v>160</c:v>
                </c:pt>
                <c:pt idx="4">
                  <c:v>147</c:v>
                </c:pt>
                <c:pt idx="5">
                  <c:v>117</c:v>
                </c:pt>
                <c:pt idx="6">
                  <c:v>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16-4B9B-8F71-519FCABD6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000"/>
          <c:min val="10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Frequency (Hz)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80"/>
          <c:min val="9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Phase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t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47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47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A39" zoomScale="62" workbookViewId="0">
      <selection activeCell="F17" sqref="F17"/>
    </sheetView>
  </sheetViews>
  <sheetFormatPr defaultRowHeight="14.4" x14ac:dyDescent="0.3"/>
  <cols>
    <col min="1" max="1" width="18" customWidth="1"/>
    <col min="2" max="2" width="16" customWidth="1"/>
    <col min="3" max="3" width="3" customWidth="1"/>
    <col min="4" max="5" width="18" customWidth="1"/>
  </cols>
  <sheetData>
    <row r="1" spans="1:10" ht="16.8" x14ac:dyDescent="0.3">
      <c r="A1" s="7" t="s">
        <v>0</v>
      </c>
      <c r="B1" s="6"/>
      <c r="C1" s="6"/>
      <c r="D1" s="6"/>
      <c r="E1" s="6"/>
      <c r="F1" s="6"/>
      <c r="G1" s="6"/>
      <c r="H1" s="6"/>
    </row>
    <row r="2" spans="1:10" x14ac:dyDescent="0.3">
      <c r="A2" s="5" t="s">
        <v>1</v>
      </c>
      <c r="B2" s="6"/>
      <c r="C2" s="6"/>
      <c r="D2" s="6"/>
      <c r="E2" s="6"/>
      <c r="F2" s="6"/>
      <c r="G2" s="6"/>
      <c r="H2" s="6"/>
    </row>
    <row r="4" spans="1:10" x14ac:dyDescent="0.3">
      <c r="A4" s="1" t="s">
        <v>2</v>
      </c>
      <c r="B4" s="1" t="s">
        <v>3</v>
      </c>
      <c r="D4" s="1" t="s">
        <v>4</v>
      </c>
      <c r="E4" s="1" t="s">
        <v>5</v>
      </c>
      <c r="G4" s="8" t="s">
        <v>10</v>
      </c>
      <c r="H4" s="8" t="s">
        <v>11</v>
      </c>
    </row>
    <row r="5" spans="1:10" x14ac:dyDescent="0.3">
      <c r="A5" s="2">
        <v>100</v>
      </c>
      <c r="B5" s="2">
        <v>14.15</v>
      </c>
      <c r="D5" s="3">
        <v>100</v>
      </c>
      <c r="E5" s="4">
        <f>LOG(J5)*20</f>
        <v>14.065827562373228</v>
      </c>
      <c r="G5">
        <v>10.1</v>
      </c>
      <c r="H5">
        <v>2</v>
      </c>
      <c r="J5">
        <f>SUM(G5/H5)</f>
        <v>5.05</v>
      </c>
    </row>
    <row r="6" spans="1:10" x14ac:dyDescent="0.3">
      <c r="A6" s="2">
        <v>125.89</v>
      </c>
      <c r="B6" s="2">
        <v>14.14</v>
      </c>
      <c r="D6" s="3">
        <v>200</v>
      </c>
      <c r="E6" s="4">
        <f t="shared" ref="E6:E14" si="0">LOG(J6)*20</f>
        <v>14.065827562373228</v>
      </c>
      <c r="G6">
        <v>10.1</v>
      </c>
      <c r="H6">
        <v>2</v>
      </c>
      <c r="J6">
        <f t="shared" ref="J6:J14" si="1">SUM(G6/H6)</f>
        <v>5.05</v>
      </c>
    </row>
    <row r="7" spans="1:10" x14ac:dyDescent="0.3">
      <c r="A7" s="2">
        <v>158.49</v>
      </c>
      <c r="B7" s="2">
        <v>14.14</v>
      </c>
      <c r="D7" s="3">
        <v>500</v>
      </c>
      <c r="E7" s="4">
        <f t="shared" si="0"/>
        <v>14.065827562373228</v>
      </c>
      <c r="G7">
        <v>10.1</v>
      </c>
      <c r="H7">
        <v>2</v>
      </c>
      <c r="J7">
        <f t="shared" si="1"/>
        <v>5.05</v>
      </c>
    </row>
    <row r="8" spans="1:10" x14ac:dyDescent="0.3">
      <c r="A8" s="2">
        <v>199.53</v>
      </c>
      <c r="B8" s="2">
        <v>14.13</v>
      </c>
      <c r="D8" s="3">
        <v>1000</v>
      </c>
      <c r="E8" s="4">
        <f t="shared" si="0"/>
        <v>13.624824747511743</v>
      </c>
      <c r="G8">
        <v>9.6</v>
      </c>
      <c r="H8">
        <v>2</v>
      </c>
      <c r="J8">
        <f t="shared" si="1"/>
        <v>4.8</v>
      </c>
    </row>
    <row r="9" spans="1:10" x14ac:dyDescent="0.3">
      <c r="A9" s="2">
        <v>251.19</v>
      </c>
      <c r="B9" s="2">
        <v>14.12</v>
      </c>
      <c r="D9" s="3">
        <v>2000</v>
      </c>
      <c r="E9" s="4">
        <f t="shared" si="0"/>
        <v>12.464985807958008</v>
      </c>
      <c r="G9">
        <v>8.4</v>
      </c>
      <c r="H9">
        <v>2</v>
      </c>
      <c r="J9">
        <f t="shared" si="1"/>
        <v>4.2</v>
      </c>
    </row>
    <row r="10" spans="1:10" x14ac:dyDescent="0.3">
      <c r="A10" s="2">
        <v>316.23</v>
      </c>
      <c r="B10" s="2">
        <v>14.11</v>
      </c>
      <c r="D10" s="3">
        <v>5000</v>
      </c>
      <c r="E10" s="4">
        <f t="shared" si="0"/>
        <v>8.6272752831797472</v>
      </c>
      <c r="G10">
        <v>5.4</v>
      </c>
      <c r="H10">
        <v>2</v>
      </c>
      <c r="J10">
        <f t="shared" si="1"/>
        <v>2.7</v>
      </c>
    </row>
    <row r="11" spans="1:10" x14ac:dyDescent="0.3">
      <c r="A11" s="2">
        <v>398.11</v>
      </c>
      <c r="B11" s="2">
        <v>14.08</v>
      </c>
      <c r="D11" s="3">
        <v>10000</v>
      </c>
      <c r="E11" s="4">
        <f t="shared" si="0"/>
        <v>4.0823996531184958</v>
      </c>
      <c r="G11">
        <v>3.2</v>
      </c>
      <c r="H11">
        <v>2</v>
      </c>
      <c r="J11">
        <f t="shared" si="1"/>
        <v>1.6</v>
      </c>
    </row>
    <row r="12" spans="1:10" x14ac:dyDescent="0.3">
      <c r="A12" s="2">
        <v>501.19</v>
      </c>
      <c r="B12" s="2">
        <v>14.04</v>
      </c>
      <c r="D12" s="3">
        <v>20000</v>
      </c>
      <c r="E12" s="4">
        <f t="shared" si="0"/>
        <v>-0.91514981121350236</v>
      </c>
      <c r="G12">
        <v>1.8</v>
      </c>
      <c r="H12">
        <v>2</v>
      </c>
      <c r="J12">
        <f t="shared" si="1"/>
        <v>0.9</v>
      </c>
    </row>
    <row r="13" spans="1:10" x14ac:dyDescent="0.3">
      <c r="A13" s="2">
        <v>630.96</v>
      </c>
      <c r="B13" s="2">
        <v>13.98</v>
      </c>
      <c r="D13" s="3">
        <v>50000</v>
      </c>
      <c r="E13" s="4">
        <f t="shared" si="0"/>
        <v>-7.9588001734407516</v>
      </c>
      <c r="G13">
        <v>0.8</v>
      </c>
      <c r="H13">
        <v>2</v>
      </c>
      <c r="J13">
        <f t="shared" si="1"/>
        <v>0.4</v>
      </c>
    </row>
    <row r="14" spans="1:10" x14ac:dyDescent="0.3">
      <c r="A14" s="2">
        <v>794.33</v>
      </c>
      <c r="B14" s="2">
        <v>13.88</v>
      </c>
      <c r="D14" s="3">
        <v>100000</v>
      </c>
      <c r="E14" s="4">
        <f t="shared" si="0"/>
        <v>-10.457574905606752</v>
      </c>
      <c r="G14">
        <v>0.6</v>
      </c>
      <c r="H14">
        <v>2</v>
      </c>
      <c r="J14">
        <f t="shared" si="1"/>
        <v>0.3</v>
      </c>
    </row>
    <row r="15" spans="1:10" x14ac:dyDescent="0.3">
      <c r="A15" s="2">
        <v>1000</v>
      </c>
      <c r="B15" s="2">
        <v>13.73</v>
      </c>
    </row>
    <row r="16" spans="1:10" x14ac:dyDescent="0.3">
      <c r="A16" s="2">
        <v>1258.93</v>
      </c>
      <c r="B16" s="2">
        <v>13.5</v>
      </c>
    </row>
    <row r="17" spans="1:2" x14ac:dyDescent="0.3">
      <c r="A17" s="2">
        <v>1584.89</v>
      </c>
      <c r="B17" s="2">
        <v>13.15</v>
      </c>
    </row>
    <row r="18" spans="1:2" x14ac:dyDescent="0.3">
      <c r="A18" s="2">
        <v>1995.26</v>
      </c>
      <c r="B18" s="2">
        <v>12.66</v>
      </c>
    </row>
    <row r="19" spans="1:2" x14ac:dyDescent="0.3">
      <c r="A19" s="2">
        <v>2511.89</v>
      </c>
      <c r="B19" s="2">
        <v>11.98</v>
      </c>
    </row>
    <row r="20" spans="1:2" x14ac:dyDescent="0.3">
      <c r="A20" s="2">
        <v>3162.28</v>
      </c>
      <c r="B20" s="2">
        <v>11.08</v>
      </c>
    </row>
    <row r="21" spans="1:2" x14ac:dyDescent="0.3">
      <c r="A21" s="2">
        <v>3981.07</v>
      </c>
      <c r="B21" s="2">
        <v>9.9600000000000009</v>
      </c>
    </row>
    <row r="22" spans="1:2" x14ac:dyDescent="0.3">
      <c r="A22" s="2">
        <v>5011.87</v>
      </c>
      <c r="B22" s="2">
        <v>8.61</v>
      </c>
    </row>
    <row r="23" spans="1:2" x14ac:dyDescent="0.3">
      <c r="A23" s="2">
        <v>6309.57</v>
      </c>
      <c r="B23" s="2">
        <v>7.08</v>
      </c>
    </row>
    <row r="24" spans="1:2" x14ac:dyDescent="0.3">
      <c r="A24" s="2">
        <v>7943.28</v>
      </c>
      <c r="B24" s="2">
        <v>5.41</v>
      </c>
    </row>
    <row r="25" spans="1:2" x14ac:dyDescent="0.3">
      <c r="A25" s="2">
        <v>10000</v>
      </c>
      <c r="B25" s="2">
        <v>3.63</v>
      </c>
    </row>
    <row r="26" spans="1:2" x14ac:dyDescent="0.3">
      <c r="A26" s="2">
        <v>12589.25</v>
      </c>
      <c r="B26" s="2">
        <v>1.78</v>
      </c>
    </row>
    <row r="27" spans="1:2" x14ac:dyDescent="0.3">
      <c r="A27" s="2">
        <v>15848.93</v>
      </c>
      <c r="B27" s="2">
        <v>-0.13</v>
      </c>
    </row>
    <row r="28" spans="1:2" x14ac:dyDescent="0.3">
      <c r="A28" s="2">
        <v>19952.62</v>
      </c>
      <c r="B28" s="2">
        <v>-2.0699999999999998</v>
      </c>
    </row>
    <row r="29" spans="1:2" x14ac:dyDescent="0.3">
      <c r="A29" s="2">
        <v>25118.86</v>
      </c>
      <c r="B29" s="2">
        <v>-4.03</v>
      </c>
    </row>
    <row r="30" spans="1:2" x14ac:dyDescent="0.3">
      <c r="A30" s="2">
        <v>31622.78</v>
      </c>
      <c r="B30" s="2">
        <v>-6.01</v>
      </c>
    </row>
    <row r="31" spans="1:2" x14ac:dyDescent="0.3">
      <c r="A31" s="2">
        <v>39810.720000000001</v>
      </c>
      <c r="B31" s="2">
        <v>-7.99</v>
      </c>
    </row>
    <row r="32" spans="1:2" x14ac:dyDescent="0.3">
      <c r="A32" s="2">
        <v>50118.720000000001</v>
      </c>
      <c r="B32" s="2">
        <v>-9.98</v>
      </c>
    </row>
    <row r="33" spans="1:2" x14ac:dyDescent="0.3">
      <c r="A33" s="2">
        <v>63095.73</v>
      </c>
      <c r="B33" s="2">
        <v>-11.98</v>
      </c>
    </row>
    <row r="34" spans="1:2" x14ac:dyDescent="0.3">
      <c r="A34" s="2">
        <v>79432.820000000007</v>
      </c>
      <c r="B34" s="2">
        <v>-13.97</v>
      </c>
    </row>
    <row r="35" spans="1:2" x14ac:dyDescent="0.3">
      <c r="A35" s="2">
        <v>100000</v>
      </c>
      <c r="B35" s="2">
        <v>-15.97</v>
      </c>
    </row>
    <row r="36" spans="1:2" x14ac:dyDescent="0.3">
      <c r="A36" s="2">
        <v>125892.54</v>
      </c>
      <c r="B36" s="2">
        <v>-17.97</v>
      </c>
    </row>
    <row r="37" spans="1:2" x14ac:dyDescent="0.3">
      <c r="A37" s="2">
        <v>158489.32</v>
      </c>
      <c r="B37" s="2">
        <v>-19.97</v>
      </c>
    </row>
    <row r="38" spans="1:2" x14ac:dyDescent="0.3">
      <c r="A38" s="2">
        <v>199526.23</v>
      </c>
      <c r="B38" s="2">
        <v>-21.96</v>
      </c>
    </row>
    <row r="39" spans="1:2" x14ac:dyDescent="0.3">
      <c r="A39" s="2">
        <v>251188.64</v>
      </c>
      <c r="B39" s="2">
        <v>-23.96</v>
      </c>
    </row>
    <row r="40" spans="1:2" x14ac:dyDescent="0.3">
      <c r="A40" s="2">
        <v>316227.77</v>
      </c>
      <c r="B40" s="2">
        <v>-25.96</v>
      </c>
    </row>
    <row r="41" spans="1:2" x14ac:dyDescent="0.3">
      <c r="A41" s="2">
        <v>398107.17</v>
      </c>
      <c r="B41" s="2">
        <v>-27.96</v>
      </c>
    </row>
    <row r="42" spans="1:2" x14ac:dyDescent="0.3">
      <c r="A42" s="2">
        <v>501187.23</v>
      </c>
      <c r="B42" s="2">
        <v>-29.95</v>
      </c>
    </row>
    <row r="43" spans="1:2" x14ac:dyDescent="0.3">
      <c r="A43" s="2">
        <v>630957.34</v>
      </c>
      <c r="B43" s="2">
        <v>-31.94</v>
      </c>
    </row>
    <row r="44" spans="1:2" x14ac:dyDescent="0.3">
      <c r="A44" s="2">
        <v>794328.23</v>
      </c>
      <c r="B44" s="2">
        <v>-33.93</v>
      </c>
    </row>
    <row r="45" spans="1:2" x14ac:dyDescent="0.3">
      <c r="A45" s="2">
        <v>1000000</v>
      </c>
      <c r="B45" s="2">
        <v>-35.909999999999997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topLeftCell="A41" zoomScale="81" workbookViewId="0">
      <selection activeCell="F9" sqref="F9"/>
    </sheetView>
  </sheetViews>
  <sheetFormatPr defaultRowHeight="14.4" x14ac:dyDescent="0.3"/>
  <cols>
    <col min="1" max="1" width="18" customWidth="1"/>
    <col min="2" max="2" width="16" customWidth="1"/>
    <col min="3" max="3" width="3" customWidth="1"/>
    <col min="4" max="5" width="18" customWidth="1"/>
  </cols>
  <sheetData>
    <row r="1" spans="1:8" ht="16.8" x14ac:dyDescent="0.3">
      <c r="A1" s="7" t="s">
        <v>6</v>
      </c>
      <c r="B1" s="6"/>
      <c r="C1" s="6"/>
      <c r="D1" s="6"/>
      <c r="E1" s="6"/>
      <c r="F1" s="6"/>
      <c r="G1" s="6"/>
      <c r="H1" s="6"/>
    </row>
    <row r="2" spans="1:8" x14ac:dyDescent="0.3">
      <c r="A2" s="5" t="s">
        <v>7</v>
      </c>
      <c r="B2" s="6"/>
      <c r="C2" s="6"/>
      <c r="D2" s="6"/>
      <c r="E2" s="6"/>
      <c r="F2" s="6"/>
      <c r="G2" s="6"/>
      <c r="H2" s="6"/>
    </row>
    <row r="4" spans="1:8" x14ac:dyDescent="0.3">
      <c r="A4" s="1" t="s">
        <v>2</v>
      </c>
      <c r="B4" s="1" t="s">
        <v>8</v>
      </c>
      <c r="D4" s="1" t="s">
        <v>4</v>
      </c>
      <c r="E4" s="1" t="s">
        <v>9</v>
      </c>
      <c r="H4" t="s">
        <v>12</v>
      </c>
    </row>
    <row r="5" spans="1:8" x14ac:dyDescent="0.3">
      <c r="A5" s="2">
        <v>100</v>
      </c>
      <c r="B5" s="2">
        <v>178.16</v>
      </c>
      <c r="D5" s="3">
        <v>100</v>
      </c>
      <c r="E5" s="4">
        <v>178</v>
      </c>
      <c r="H5">
        <v>178</v>
      </c>
    </row>
    <row r="6" spans="1:8" x14ac:dyDescent="0.3">
      <c r="A6" s="2">
        <v>125.89</v>
      </c>
      <c r="B6" s="2">
        <v>177.69</v>
      </c>
      <c r="D6" s="3">
        <v>200</v>
      </c>
      <c r="E6" s="4">
        <v>176</v>
      </c>
      <c r="H6">
        <v>176</v>
      </c>
    </row>
    <row r="7" spans="1:8" x14ac:dyDescent="0.3">
      <c r="A7" s="2">
        <v>158.49</v>
      </c>
      <c r="B7" s="2">
        <v>177.09</v>
      </c>
      <c r="D7" s="3">
        <v>500</v>
      </c>
      <c r="E7" s="4">
        <v>170</v>
      </c>
      <c r="H7">
        <v>170</v>
      </c>
    </row>
    <row r="8" spans="1:8" x14ac:dyDescent="0.3">
      <c r="A8" s="2">
        <v>199.53</v>
      </c>
      <c r="B8" s="2">
        <v>176.34</v>
      </c>
      <c r="D8" s="3">
        <v>1000</v>
      </c>
      <c r="E8" s="4">
        <v>160</v>
      </c>
      <c r="H8">
        <v>160</v>
      </c>
    </row>
    <row r="9" spans="1:8" x14ac:dyDescent="0.3">
      <c r="A9" s="2">
        <v>251.19</v>
      </c>
      <c r="B9" s="2">
        <v>175.4</v>
      </c>
      <c r="D9" s="3">
        <v>2000</v>
      </c>
      <c r="E9" s="4">
        <v>147</v>
      </c>
      <c r="H9">
        <v>147</v>
      </c>
    </row>
    <row r="10" spans="1:8" x14ac:dyDescent="0.3">
      <c r="A10" s="2">
        <v>316.23</v>
      </c>
      <c r="B10" s="2">
        <v>174.21</v>
      </c>
      <c r="D10" s="3">
        <v>5000</v>
      </c>
      <c r="E10" s="4">
        <v>117</v>
      </c>
      <c r="H10">
        <v>117</v>
      </c>
    </row>
    <row r="11" spans="1:8" x14ac:dyDescent="0.3">
      <c r="A11" s="2">
        <v>398.11</v>
      </c>
      <c r="B11" s="2">
        <v>172.73</v>
      </c>
      <c r="D11" s="3">
        <v>10000</v>
      </c>
      <c r="E11" s="4">
        <v>108</v>
      </c>
      <c r="H11">
        <v>108</v>
      </c>
    </row>
    <row r="12" spans="1:8" x14ac:dyDescent="0.3">
      <c r="A12" s="2">
        <v>501.19</v>
      </c>
      <c r="B12" s="2">
        <v>170.87</v>
      </c>
      <c r="D12" s="3">
        <v>20000</v>
      </c>
      <c r="E12" s="4"/>
    </row>
    <row r="13" spans="1:8" x14ac:dyDescent="0.3">
      <c r="A13" s="2">
        <v>630.96</v>
      </c>
      <c r="B13" s="2">
        <v>168.57</v>
      </c>
      <c r="D13" s="3">
        <v>50000</v>
      </c>
      <c r="E13" s="4"/>
    </row>
    <row r="14" spans="1:8" x14ac:dyDescent="0.3">
      <c r="A14" s="2">
        <v>794.33</v>
      </c>
      <c r="B14" s="2">
        <v>165.72</v>
      </c>
      <c r="D14" s="3">
        <v>100000</v>
      </c>
      <c r="E14" s="4"/>
    </row>
    <row r="15" spans="1:8" x14ac:dyDescent="0.3">
      <c r="A15" s="2">
        <v>1000</v>
      </c>
      <c r="B15" s="2">
        <v>162.22999999999999</v>
      </c>
    </row>
    <row r="16" spans="1:8" x14ac:dyDescent="0.3">
      <c r="A16" s="2">
        <v>1258.93</v>
      </c>
      <c r="B16" s="2">
        <v>158.03</v>
      </c>
    </row>
    <row r="17" spans="1:2" x14ac:dyDescent="0.3">
      <c r="A17" s="2">
        <v>1584.89</v>
      </c>
      <c r="B17" s="2">
        <v>153.07</v>
      </c>
    </row>
    <row r="18" spans="1:2" x14ac:dyDescent="0.3">
      <c r="A18" s="2">
        <v>1995.26</v>
      </c>
      <c r="B18" s="2">
        <v>147.4</v>
      </c>
    </row>
    <row r="19" spans="1:2" x14ac:dyDescent="0.3">
      <c r="A19" s="2">
        <v>2511.89</v>
      </c>
      <c r="B19" s="2">
        <v>141.16</v>
      </c>
    </row>
    <row r="20" spans="1:2" x14ac:dyDescent="0.3">
      <c r="A20" s="2">
        <v>3162.28</v>
      </c>
      <c r="B20" s="2">
        <v>134.62</v>
      </c>
    </row>
    <row r="21" spans="1:2" x14ac:dyDescent="0.3">
      <c r="A21" s="2">
        <v>3981.07</v>
      </c>
      <c r="B21" s="2">
        <v>128.09</v>
      </c>
    </row>
    <row r="22" spans="1:2" x14ac:dyDescent="0.3">
      <c r="A22" s="2">
        <v>5011.87</v>
      </c>
      <c r="B22" s="2">
        <v>121.9</v>
      </c>
    </row>
    <row r="23" spans="1:2" x14ac:dyDescent="0.3">
      <c r="A23" s="2">
        <v>6309.57</v>
      </c>
      <c r="B23" s="2">
        <v>116.31</v>
      </c>
    </row>
    <row r="24" spans="1:2" x14ac:dyDescent="0.3">
      <c r="A24" s="2">
        <v>7943.28</v>
      </c>
      <c r="B24" s="2">
        <v>111.44</v>
      </c>
    </row>
    <row r="25" spans="1:2" x14ac:dyDescent="0.3">
      <c r="A25" s="2">
        <v>10000</v>
      </c>
      <c r="B25" s="2">
        <v>107.32</v>
      </c>
    </row>
    <row r="26" spans="1:2" x14ac:dyDescent="0.3">
      <c r="A26" s="2">
        <v>12589.25</v>
      </c>
      <c r="B26" s="2">
        <v>103.91</v>
      </c>
    </row>
    <row r="27" spans="1:2" x14ac:dyDescent="0.3">
      <c r="A27" s="2">
        <v>15848.93</v>
      </c>
      <c r="B27" s="2">
        <v>101.13</v>
      </c>
    </row>
    <row r="28" spans="1:2" x14ac:dyDescent="0.3">
      <c r="A28" s="2">
        <v>19952.62</v>
      </c>
      <c r="B28" s="2">
        <v>98.88</v>
      </c>
    </row>
    <row r="29" spans="1:2" x14ac:dyDescent="0.3">
      <c r="A29" s="2">
        <v>25118.86</v>
      </c>
      <c r="B29" s="2">
        <v>97.07</v>
      </c>
    </row>
    <row r="30" spans="1:2" x14ac:dyDescent="0.3">
      <c r="A30" s="2">
        <v>31622.78</v>
      </c>
      <c r="B30" s="2">
        <v>95.62</v>
      </c>
    </row>
    <row r="31" spans="1:2" x14ac:dyDescent="0.3">
      <c r="A31" s="2">
        <v>39810.720000000001</v>
      </c>
      <c r="B31" s="2">
        <v>94.46</v>
      </c>
    </row>
    <row r="32" spans="1:2" x14ac:dyDescent="0.3">
      <c r="A32" s="2">
        <v>50118.720000000001</v>
      </c>
      <c r="B32" s="2">
        <v>93.53</v>
      </c>
    </row>
    <row r="33" spans="1:2" x14ac:dyDescent="0.3">
      <c r="A33" s="2">
        <v>63095.73</v>
      </c>
      <c r="B33" s="2">
        <v>92.79</v>
      </c>
    </row>
    <row r="34" spans="1:2" x14ac:dyDescent="0.3">
      <c r="A34" s="2">
        <v>79432.820000000007</v>
      </c>
      <c r="B34" s="2">
        <v>92.2</v>
      </c>
    </row>
    <row r="35" spans="1:2" x14ac:dyDescent="0.3">
      <c r="A35" s="2">
        <v>100000</v>
      </c>
      <c r="B35" s="2">
        <v>91.73</v>
      </c>
    </row>
    <row r="36" spans="1:2" x14ac:dyDescent="0.3">
      <c r="A36" s="2">
        <v>125892.54</v>
      </c>
      <c r="B36" s="2">
        <v>91.35</v>
      </c>
    </row>
    <row r="37" spans="1:2" x14ac:dyDescent="0.3">
      <c r="A37" s="2">
        <v>158489.32</v>
      </c>
      <c r="B37" s="2">
        <v>91.04</v>
      </c>
    </row>
    <row r="38" spans="1:2" x14ac:dyDescent="0.3">
      <c r="A38" s="2">
        <v>199526.23</v>
      </c>
      <c r="B38" s="2">
        <v>90.78</v>
      </c>
    </row>
    <row r="39" spans="1:2" x14ac:dyDescent="0.3">
      <c r="A39" s="2">
        <v>251188.64</v>
      </c>
      <c r="B39" s="2">
        <v>90.57</v>
      </c>
    </row>
    <row r="40" spans="1:2" x14ac:dyDescent="0.3">
      <c r="A40" s="2">
        <v>316227.77</v>
      </c>
      <c r="B40" s="2">
        <v>90.38</v>
      </c>
    </row>
    <row r="41" spans="1:2" x14ac:dyDescent="0.3">
      <c r="A41" s="2">
        <v>398107.17</v>
      </c>
      <c r="B41" s="2">
        <v>90.22</v>
      </c>
    </row>
    <row r="42" spans="1:2" x14ac:dyDescent="0.3">
      <c r="A42" s="2">
        <v>501187.23</v>
      </c>
      <c r="B42" s="2">
        <v>90.07</v>
      </c>
    </row>
    <row r="43" spans="1:2" x14ac:dyDescent="0.3">
      <c r="A43" s="2">
        <v>630957.34</v>
      </c>
      <c r="B43" s="2">
        <v>89.92</v>
      </c>
    </row>
    <row r="44" spans="1:2" x14ac:dyDescent="0.3">
      <c r="A44" s="2">
        <v>794328.23</v>
      </c>
      <c r="B44" s="2">
        <v>89.76</v>
      </c>
    </row>
    <row r="45" spans="1:2" x14ac:dyDescent="0.3">
      <c r="A45" s="2">
        <v>1000000</v>
      </c>
      <c r="B45" s="2">
        <v>89.6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 #3 - Gain (dB)</vt:lpstr>
      <vt:lpstr>Graph #4 - Phase (°)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Siam Siam</cp:lastModifiedBy>
  <dcterms:created xsi:type="dcterms:W3CDTF">2026-09-14T05:36:33Z</dcterms:created>
  <dcterms:modified xsi:type="dcterms:W3CDTF">2026-09-14T05:47:53Z</dcterms:modified>
</cp:coreProperties>
</file>